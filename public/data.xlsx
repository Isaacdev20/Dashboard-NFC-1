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ownloads\"/>
    </mc:Choice>
  </mc:AlternateContent>
  <xr:revisionPtr revIDLastSave="0" documentId="13_ncr:1_{B1C8D371-71EE-4349-8524-083417F132EB}" xr6:coauthVersionLast="47" xr6:coauthVersionMax="47" xr10:uidLastSave="{00000000-0000-0000-0000-000000000000}"/>
  <bookViews>
    <workbookView xWindow="-38510" yWindow="-10880" windowWidth="38620" windowHeight="21100" xr2:uid="{84723720-5A98-4250-92E9-ADA895BF63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F5" i="1"/>
  <c r="J3" i="1" s="1"/>
  <c r="H3" i="1" s="1"/>
  <c r="K3" i="1"/>
  <c r="I9" i="1" s="1"/>
  <c r="F4" i="1"/>
  <c r="F3" i="1"/>
  <c r="F6" i="1" l="1"/>
  <c r="H4" i="1"/>
</calcChain>
</file>

<file path=xl/sharedStrings.xml><?xml version="1.0" encoding="utf-8"?>
<sst xmlns="http://schemas.openxmlformats.org/spreadsheetml/2006/main" count="19" uniqueCount="17">
  <si>
    <t>Acrilico 5 UND</t>
  </si>
  <si>
    <t>Adesivos NFC 10UND</t>
  </si>
  <si>
    <t>UND</t>
  </si>
  <si>
    <t>UND VALOR</t>
  </si>
  <si>
    <t>VALOR DE VENDA</t>
  </si>
  <si>
    <t>% LUCRO</t>
  </si>
  <si>
    <t>VALOR INVESTIDO</t>
  </si>
  <si>
    <t>CUSTO PRODUCAO UND</t>
  </si>
  <si>
    <t>IMPRESSAO ARTE</t>
  </si>
  <si>
    <t xml:space="preserve">Adesivo NFC </t>
  </si>
  <si>
    <t xml:space="preserve">Acrilico </t>
  </si>
  <si>
    <t>MATERIAL</t>
  </si>
  <si>
    <t>VALOR</t>
  </si>
  <si>
    <t>QUANT VENDIDA</t>
  </si>
  <si>
    <t>RETORNO REAL</t>
  </si>
  <si>
    <t>IDEIA #1 PLACAS NFC DE PIX/SATISFAÇÃO</t>
  </si>
  <si>
    <t>isso pra 5 placas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</si>
</sst>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EBA9-850F-47F7-93B3-FA6BD9511405}">
  <dimension ref="A1:K9"/>
  <sheetViews>
    <sheetView tabSelected="1" workbookViewId="0">
      <selection activeCell="F21" sqref="F12:L21"/>
    </sheetView>
  </sheetViews>
  <sheetFormatPr defaultColWidth="9.1796875" defaultRowHeight="14.5" x14ac:dyDescent="0.35"/>
  <cols>
    <col min="1" max="1" width="19.7265625" style="1" bestFit="1" customWidth="1"/>
    <col min="2" max="2" width="9.54296875" style="1" bestFit="1" customWidth="1"/>
    <col min="3" max="3" width="5" style="1" bestFit="1" customWidth="1"/>
    <col min="4" max="4" width="9.1796875" style="1"/>
    <col min="5" max="5" width="16.7265625" style="1" bestFit="1" customWidth="1"/>
    <col min="6" max="6" width="11.453125" style="1" bestFit="1" customWidth="1"/>
    <col min="7" max="7" width="9.1796875" style="1"/>
    <col min="8" max="8" width="16.26953125" style="1" bestFit="1" customWidth="1"/>
    <col min="9" max="9" width="16.54296875" style="1" bestFit="1" customWidth="1"/>
    <col min="10" max="10" width="21.7265625" style="1" bestFit="1" customWidth="1"/>
    <col min="11" max="11" width="17.26953125" style="1" bestFit="1" customWidth="1"/>
    <col min="12" max="16384" width="9.1796875" style="1"/>
  </cols>
  <sheetData>
    <row r="1" spans="1:11" ht="19.5" x14ac:dyDescent="0.35">
      <c r="A1" s="13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5">
      <c r="A2" s="3" t="s">
        <v>11</v>
      </c>
      <c r="B2" s="3" t="s">
        <v>12</v>
      </c>
      <c r="C2" s="3" t="s">
        <v>2</v>
      </c>
      <c r="E2" s="6" t="s">
        <v>2</v>
      </c>
      <c r="F2" s="6" t="s">
        <v>3</v>
      </c>
      <c r="H2" s="8" t="s">
        <v>5</v>
      </c>
      <c r="I2" s="8" t="s">
        <v>4</v>
      </c>
      <c r="J2" s="9" t="s">
        <v>7</v>
      </c>
      <c r="K2" s="9" t="s">
        <v>6</v>
      </c>
    </row>
    <row r="3" spans="1:11" x14ac:dyDescent="0.35">
      <c r="A3" s="4" t="s">
        <v>1</v>
      </c>
      <c r="B3" s="5">
        <v>7.5</v>
      </c>
      <c r="C3" s="4">
        <v>10</v>
      </c>
      <c r="E3" s="4" t="s">
        <v>9</v>
      </c>
      <c r="F3" s="7">
        <f>SUM(B3/C3)</f>
        <v>0.75</v>
      </c>
      <c r="H3" s="7">
        <f>SUM(I3-J3)</f>
        <v>50.454000000000001</v>
      </c>
      <c r="I3" s="5">
        <v>60</v>
      </c>
      <c r="J3" s="7">
        <f>SUM(F3+F4+F5)</f>
        <v>9.5459999999999994</v>
      </c>
      <c r="K3" s="7">
        <f>SUM(B3+B4+B5)</f>
        <v>48.980000000000004</v>
      </c>
    </row>
    <row r="4" spans="1:11" x14ac:dyDescent="0.35">
      <c r="A4" s="4" t="s">
        <v>0</v>
      </c>
      <c r="B4" s="5">
        <v>31.48</v>
      </c>
      <c r="C4" s="4">
        <v>5</v>
      </c>
      <c r="E4" s="4" t="s">
        <v>10</v>
      </c>
      <c r="F4" s="7">
        <f>SUM(B4/C4)</f>
        <v>6.2960000000000003</v>
      </c>
      <c r="H4" s="10">
        <f>SUM(((I3*100)/J3)/100)</f>
        <v>6.2853551225644253</v>
      </c>
      <c r="K4" s="1" t="s">
        <v>16</v>
      </c>
    </row>
    <row r="5" spans="1:11" x14ac:dyDescent="0.35">
      <c r="A5" s="4" t="s">
        <v>8</v>
      </c>
      <c r="B5" s="5">
        <v>10</v>
      </c>
      <c r="C5" s="4">
        <v>4</v>
      </c>
      <c r="E5" s="4" t="s">
        <v>8</v>
      </c>
      <c r="F5" s="7">
        <f>SUM(B5/C5)</f>
        <v>2.5</v>
      </c>
    </row>
    <row r="6" spans="1:11" x14ac:dyDescent="0.35">
      <c r="B6" s="2">
        <f>SUM(B3:B5)</f>
        <v>48.980000000000004</v>
      </c>
      <c r="F6" s="2">
        <f>SUM(F3:F5)</f>
        <v>9.5459999999999994</v>
      </c>
    </row>
    <row r="8" spans="1:11" x14ac:dyDescent="0.35">
      <c r="H8" s="8" t="s">
        <v>13</v>
      </c>
      <c r="I8" s="8" t="s">
        <v>14</v>
      </c>
    </row>
    <row r="9" spans="1:11" x14ac:dyDescent="0.35">
      <c r="H9" s="11">
        <v>5</v>
      </c>
      <c r="I9" s="12">
        <f>SUM((H9*I3) - K3)</f>
        <v>251.01999999999998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Issac</dc:creator>
  <cp:lastModifiedBy>Isaac Baima</cp:lastModifiedBy>
  <dcterms:created xsi:type="dcterms:W3CDTF">2026-09-29T00:50:33Z</dcterms:created>
  <dcterms:modified xsi:type="dcterms:W3CDTF">2026-09-29T12:43:56Z</dcterms:modified>
</cp:coreProperties>
</file>